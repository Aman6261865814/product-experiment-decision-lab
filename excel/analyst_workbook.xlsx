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e5095d860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73ecd78ae5946e8"/>
    <x:sheet xmlns:r="http://schemas.openxmlformats.org/officeDocument/2006/relationships" name="Calculations" sheetId="2" r:id="Rc525c37542ea493f"/>
    <x:sheet xmlns:r="http://schemas.openxmlformats.org/officeDocument/2006/relationships" name="Sources" sheetId="3" r:id="R5c3440f729da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6">
    <x:font>
      <x:sz val="11"/>
      <x:name val="Carlito"/>
    </x:font>
    <x:font>
      <x:sz val="10"/>
      <x:color rgb="FF14243A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4243A"/>
      <x:name val="Arial"/>
    </x:font>
    <x:font>
      <x:b/>
      <x:sz val="16"/>
      <x:color rgb="FF174BA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72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31592ab0a4da5" /><Relationship Type="http://schemas.openxmlformats.org/officeDocument/2006/relationships/theme" Target="/xl/theme/theme1.xml" Id="Rf1a4253359f24175" /><Relationship Type="http://schemas.openxmlformats.org/officeDocument/2006/relationships/sharedStrings" Target="/xl/sharedStrings.xml" Id="R2627afe095e444f5" /><Relationship Type="http://schemas.openxmlformats.org/officeDocument/2006/relationships/worksheet" Target="/xl/worksheets/sheet1.xml" Id="R073ecd78ae5946e8" /><Relationship Type="http://schemas.openxmlformats.org/officeDocument/2006/relationships/worksheet" Target="/xl/worksheets/sheet2.xml" Id="Rc525c37542ea493f" /><Relationship Type="http://schemas.openxmlformats.org/officeDocument/2006/relationships/worksheet" Target="/xl/worksheets/sheet3.xml" Id="R5c3440f729da49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cbc27e3f9247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Seven-day conversion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Rate</c:v>
          </c:tx>
          <c:invertIfNegative val="0"/>
          <c:cat>
            <c:strRef>
              <c:f>'Calculations'!$A$5:$A$6</c:f>
              <c:strCache>
                <c:ptCount val="0"/>
              </c:strCache>
            </c:strRef>
          </c:cat>
          <c:val>
            <c:numRef>
              <c:f>'Calculations'!$D$5:$D$6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invertIfNegative val="0"/>
          <c:cat>
            <c:strRef>
              <c:f>'Calculations'!$A$5:$A$6</c:f>
              <c:strCache>
                <c:ptCount val="0"/>
              </c:strCache>
            </c:strRef>
          </c:cat>
          <c:val>
            <c:numRef>
              <c:f>'Calculations'!$J$5:$J$6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cbc27e3f9247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Metrics" displayName="SourceMetrics" ref="A4:D32" headerRowCount="1" totalsRowCount="0" totalsRowShown="0">
  <x:tableColumns count="4">
    <x:tableColumn id="1" name="Period"/>
    <x:tableColumn id="2" name="Category"/>
    <x:tableColumn id="3" name="Numerator"/>
    <x:tableColumn id="4" name="Denominat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ff65f73cee48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b51e643266247c5" /></Relationships>
</file>

<file path=xl/worksheets/sheet1.xml><?xml version="1.0" encoding="utf-8"?>
<x:worksheet xmlns:x="http://schemas.openxmlformats.org/spreadsheetml/2006/main">
  <x:sheetPr>
    <x:tabColor rgb="FF183C72"/>
  </x:sheetPr>
  <x:sheetViews>
    <x:sheetView showGridLines="0" workbookViewId="0"/>
  </x:sheetViews>
  <x:sheetFormatPr defaultRowHeight="15"/>
  <x:cols>
    <x:col min="1" max="1" width="28" hidden="0" customWidth="1"/>
    <x:col min="2" max="2" width="2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7" t="str">
        <x:v>Product Experiment Decision Lab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 t="str">
        <x:v>Category</x:v>
      </x:c>
      <x:c r="B4" s="9" t="str">
        <x:v>control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Period</x:v>
      </x:c>
      <x:c r="B5" s="1" t="str">
        <x:v>All periods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Description (XLOOKUP)</x:v>
      </x:c>
      <x:c r="B7" s="1" t="str">
        <x:f>_xlfn.XLOOKUP(B4,Calculations!F5:F6,Calculations!G5:G6,"Unknown category")</x:f>
        <x:v>Original onboarding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INDEX-MATCH check</x:v>
      </x:c>
      <x:c r="B8" s="1" t="str">
        <x:f>IFERROR(INDEX(Calculations!G5:G6,MATCH(B4,Calculations!F5:F6,0)),"Unknown category")</x:f>
        <x:v>Original onboarding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Seven-day conversion rate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0" t="n">
        <x:f>IFERROR(INDEX(Calculations!D5:D6,MATCH(B4,Calculations!A5:A6,0)),"Select valid category")</x:f>
        <x:v>0.12233267064280981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v>Synthetic case study; no real business impact claimed.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 t="str">
        <x:v>Amber cells are editable. Source data is a fixed snapshot.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 t="str">
        <x:v>Power Query and native PivotTable setup: excel/README.md.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</x:sheetData>
  <x:dataValidations count="1">
    <x:dataValidation type="list" sqref="B4">
      <x:formula1>"control,treatment"</x:formula1>
    </x:dataValidation>
  </x:dataValidations>
  <x:pageMargins left="0.7" right="0.7" top="0.75" bottom="0.75" header="0.3" footer="0.3"/>
  <x:drawing xmlns:r="http://schemas.openxmlformats.org/officeDocument/2006/relationships" r:id="R2bff65f73cee4851"/>
</x:worksheet>
</file>

<file path=xl/worksheets/sheet2.xml><?xml version="1.0" encoding="utf-8"?>
<x:worksheet xmlns:x="http://schemas.openxmlformats.org/spreadsheetml/2006/main">
  <x:sheetPr>
    <x:tabColor rgb="FF6B8DB9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7" t="str">
        <x:v>Weighted KPI calculations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4" t="str">
        <x:v>Category</x:v>
      </x:c>
      <x:c r="B4" s="4" t="str">
        <x:v>Numerator</x:v>
      </x:c>
      <x:c r="C4" s="4" t="str">
        <x:v>Denominator</x:v>
      </x:c>
      <x:c r="D4" s="4" t="str">
        <x:v>Rate</x:v>
      </x:c>
      <x:c r="E4" s="1"/>
      <x:c r="F4" s="4" t="str">
        <x:v>Key</x:v>
      </x:c>
      <x:c r="G4" s="4" t="str">
        <x:v>Description</x:v>
      </x:c>
      <x:c r="H4" s="1"/>
      <x:c r="I4" s="1"/>
      <x:c r="J4" s="1" t="str">
        <x:v>Zero baseline</x:v>
      </x:c>
      <x:c r="K4" s="1"/>
      <x:c r="L4" s="1"/>
    </x:row>
    <x:row r="5" ht="23" customHeight="1">
      <x:c r="A5" s="1" t="str">
        <x:v>control</x:v>
      </x:c>
      <x:c r="B5" s="5" t="n">
        <x:f>SUMIFS(Sources!$C$5:$C$32,Sources!$B$5:$B$32,A5)</x:f>
        <x:v>1846</x:v>
      </x:c>
      <x:c r="C5" s="5" t="n">
        <x:f>SUMIFS(Sources!$D$5:$D$32,Sources!$B$5:$B$32,A5)</x:f>
        <x:v>15090</x:v>
      </x:c>
      <x:c r="D5" s="8" t="n">
        <x:f>IF(C5=0,"N/A",B5/C5)</x:f>
        <x:v>0.12233267064280981</x:v>
      </x:c>
      <x:c r="E5" s="1"/>
      <x:c r="F5" s="1" t="str">
        <x:v>control</x:v>
      </x:c>
      <x:c r="G5" s="1" t="str">
        <x:v>Original onboarding</x:v>
      </x:c>
      <x:c r="H5" s="1"/>
      <x:c r="I5" s="1"/>
      <x:c r="J5" s="1" t="n">
        <x:v>0</x:v>
      </x:c>
      <x:c r="K5" s="1"/>
      <x:c r="L5" s="1"/>
    </x:row>
    <x:row r="6" ht="23" customHeight="1">
      <x:c r="A6" s="1" t="str">
        <x:v>treatment</x:v>
      </x:c>
      <x:c r="B6" s="5" t="n">
        <x:f>SUMIFS(Sources!$C$5:$C$32,Sources!$B$5:$B$32,A6)</x:f>
        <x:v>2089</x:v>
      </x:c>
      <x:c r="C6" s="5" t="n">
        <x:f>SUMIFS(Sources!$D$5:$D$32,Sources!$B$5:$B$32,A6)</x:f>
        <x:v>14910</x:v>
      </x:c>
      <x:c r="D6" s="8" t="n">
        <x:f>IF(C6=0,"N/A",B6/C6)</x:f>
        <x:v>0.14010731052984574</x:v>
      </x:c>
      <x:c r="E6" s="1"/>
      <x:c r="F6" s="1" t="str">
        <x:v>treatment</x:v>
      </x:c>
      <x:c r="G6" s="1" t="str">
        <x:v>New onboarding</x:v>
      </x:c>
      <x:c r="H6" s="1"/>
      <x:c r="I6" s="1"/>
      <x:c r="J6" s="1" t="n">
        <x:v>0</x:v>
      </x:c>
      <x:c r="K6" s="1"/>
      <x:c r="L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Rates use ratio of sums; source rows are daily/monthly aggregates.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" t="str">
        <x:v>Source: synthetic pipeline aggregates; seed 20261011. See source_metrics.csv.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4" t="str">
        <x:v>Period</x:v>
      </x:c>
      <x:c r="B4" s="4" t="str">
        <x:v>Category</x:v>
      </x:c>
      <x:c r="C4" s="4" t="str">
        <x:v>Numerator</x:v>
      </x:c>
      <x:c r="D4" s="4" t="str">
        <x:v>Denominator</x:v>
      </x:c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2026-05-01</x:v>
      </x:c>
      <x:c r="B5" s="1" t="str">
        <x:v>control</x:v>
      </x:c>
      <x:c r="C5" s="5" t="n">
        <x:v>151</x:v>
      </x:c>
      <x:c r="D5" s="5" t="n">
        <x:v>1110</x:v>
      </x:c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2026-05-01</x:v>
      </x:c>
      <x:c r="B6" s="1" t="str">
        <x:v>treatment</x:v>
      </x:c>
      <x:c r="C6" s="5" t="n">
        <x:v>150</x:v>
      </x:c>
      <x:c r="D6" s="5" t="n">
        <x:v>1064</x:v>
      </x:c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2026-05-02</x:v>
      </x:c>
      <x:c r="B7" s="1" t="str">
        <x:v>control</x:v>
      </x:c>
      <x:c r="C7" s="5" t="n">
        <x:v>129</x:v>
      </x:c>
      <x:c r="D7" s="5" t="n">
        <x:v>1147</x:v>
      </x:c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2026-05-02</x:v>
      </x:c>
      <x:c r="B8" s="1" t="str">
        <x:v>treatment</x:v>
      </x:c>
      <x:c r="C8" s="5" t="n">
        <x:v>154</x:v>
      </x:c>
      <x:c r="D8" s="5" t="n">
        <x:v>1051</x:v>
      </x:c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2026-05-03</x:v>
      </x:c>
      <x:c r="B9" s="1" t="str">
        <x:v>control</x:v>
      </x:c>
      <x:c r="C9" s="5" t="n">
        <x:v>131</x:v>
      </x:c>
      <x:c r="D9" s="5" t="n">
        <x:v>1040</x:v>
      </x:c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2026-05-03</x:v>
      </x:c>
      <x:c r="B10" s="1" t="str">
        <x:v>treatment</x:v>
      </x:c>
      <x:c r="C10" s="5" t="n">
        <x:v>143</x:v>
      </x:c>
      <x:c r="D10" s="5" t="n">
        <x:v>1079</x:v>
      </x:c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2026-05-04</x:v>
      </x:c>
      <x:c r="B11" s="1" t="str">
        <x:v>control</x:v>
      </x:c>
      <x:c r="C11" s="5" t="n">
        <x:v>147</x:v>
      </x:c>
      <x:c r="D11" s="5" t="n">
        <x:v>1137</x:v>
      </x:c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2026-05-04</x:v>
      </x:c>
      <x:c r="B12" s="1" t="str">
        <x:v>treatment</x:v>
      </x:c>
      <x:c r="C12" s="5" t="n">
        <x:v>163</x:v>
      </x:c>
      <x:c r="D12" s="5" t="n">
        <x:v>1066</x:v>
      </x:c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 t="str">
        <x:v>2026-05-05</x:v>
      </x:c>
      <x:c r="B13" s="1" t="str">
        <x:v>control</x:v>
      </x:c>
      <x:c r="C13" s="5" t="n">
        <x:v>140</x:v>
      </x:c>
      <x:c r="D13" s="5" t="n">
        <x:v>1057</x:v>
      </x:c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 t="str">
        <x:v>2026-05-05</x:v>
      </x:c>
      <x:c r="B14" s="1" t="str">
        <x:v>treatment</x:v>
      </x:c>
      <x:c r="C14" s="5" t="n">
        <x:v>162</x:v>
      </x:c>
      <x:c r="D14" s="5" t="n">
        <x:v>1018</x:v>
      </x:c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 t="str">
        <x:v>2026-05-06</x:v>
      </x:c>
      <x:c r="B15" s="1" t="str">
        <x:v>control</x:v>
      </x:c>
      <x:c r="C15" s="5" t="n">
        <x:v>128</x:v>
      </x:c>
      <x:c r="D15" s="5" t="n">
        <x:v>1102</x:v>
      </x:c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v>2026-05-06</x:v>
      </x:c>
      <x:c r="B16" s="1" t="str">
        <x:v>treatment</x:v>
      </x:c>
      <x:c r="C16" s="5" t="n">
        <x:v>153</x:v>
      </x:c>
      <x:c r="D16" s="5" t="n">
        <x:v>1050</x:v>
      </x:c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 t="str">
        <x:v>2026-05-07</x:v>
      </x:c>
      <x:c r="B17" s="1" t="str">
        <x:v>control</x:v>
      </x:c>
      <x:c r="C17" s="5" t="n">
        <x:v>129</x:v>
      </x:c>
      <x:c r="D17" s="5" t="n">
        <x:v>1103</x:v>
      </x:c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 t="str">
        <x:v>2026-05-07</x:v>
      </x:c>
      <x:c r="B18" s="1" t="str">
        <x:v>treatment</x:v>
      </x:c>
      <x:c r="C18" s="5" t="n">
        <x:v>155</x:v>
      </x:c>
      <x:c r="D18" s="5" t="n">
        <x:v>1099</x:v>
      </x:c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 t="str">
        <x:v>2026-05-08</x:v>
      </x:c>
      <x:c r="B19" s="1" t="str">
        <x:v>control</x:v>
      </x:c>
      <x:c r="C19" s="5" t="n">
        <x:v>132</x:v>
      </x:c>
      <x:c r="D19" s="5" t="n">
        <x:v>1050</x:v>
      </x:c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 t="str">
        <x:v>2026-05-08</x:v>
      </x:c>
      <x:c r="B20" s="1" t="str">
        <x:v>treatment</x:v>
      </x:c>
      <x:c r="C20" s="5" t="n">
        <x:v>152</x:v>
      </x:c>
      <x:c r="D20" s="5" t="n">
        <x:v>1033</x:v>
      </x:c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 t="str">
        <x:v>2026-05-09</x:v>
      </x:c>
      <x:c r="B21" s="1" t="str">
        <x:v>control</x:v>
      </x:c>
      <x:c r="C21" s="5" t="n">
        <x:v>129</x:v>
      </x:c>
      <x:c r="D21" s="5" t="n">
        <x:v>1007</x:v>
      </x:c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 t="str">
        <x:v>2026-05-09</x:v>
      </x:c>
      <x:c r="B22" s="1" t="str">
        <x:v>treatment</x:v>
      </x:c>
      <x:c r="C22" s="5" t="n">
        <x:v>117</x:v>
      </x:c>
      <x:c r="D22" s="5" t="n">
        <x:v>1088</x:v>
      </x:c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 t="str">
        <x:v>2026-05-10</x:v>
      </x:c>
      <x:c r="B23" s="1" t="str">
        <x:v>control</x:v>
      </x:c>
      <x:c r="C23" s="5" t="n">
        <x:v>124</x:v>
      </x:c>
      <x:c r="D23" s="5" t="n">
        <x:v>1086</x:v>
      </x:c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 t="str">
        <x:v>2026-05-10</x:v>
      </x:c>
      <x:c r="B24" s="1" t="str">
        <x:v>treatment</x:v>
      </x:c>
      <x:c r="C24" s="5" t="n">
        <x:v>145</x:v>
      </x:c>
      <x:c r="D24" s="5" t="n">
        <x:v>1028</x:v>
      </x:c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 t="str">
        <x:v>2026-05-11</x:v>
      </x:c>
      <x:c r="B25" s="1" t="str">
        <x:v>control</x:v>
      </x:c>
      <x:c r="C25" s="5" t="n">
        <x:v>99</x:v>
      </x:c>
      <x:c r="D25" s="5" t="n">
        <x:v>1041</x:v>
      </x:c>
      <x:c r="E25" s="1"/>
      <x:c r="F25" s="1"/>
      <x:c r="G25" s="1"/>
      <x:c r="H25" s="1"/>
      <x:c r="I25" s="1"/>
      <x:c r="J25" s="1"/>
      <x:c r="K25" s="1"/>
      <x:c r="L25" s="1"/>
    </x:row>
    <x:row r="26">
      <x:c r="A26" s="2" t="str">
        <x:v>2026-05-11</x:v>
      </x:c>
      <x:c r="B26" s="2" t="str">
        <x:v>treatment</x:v>
      </x:c>
      <x:c r="C26" s="6" t="n">
        <x:v>162</x:v>
      </x:c>
      <x:c r="D26" s="6" t="n">
        <x:v>1108</x:v>
      </x:c>
    </x:row>
    <x:row r="27">
      <x:c r="A27" s="2" t="str">
        <x:v>2026-05-12</x:v>
      </x:c>
      <x:c r="B27" s="2" t="str">
        <x:v>control</x:v>
      </x:c>
      <x:c r="C27" s="6" t="n">
        <x:v>126</x:v>
      </x:c>
      <x:c r="D27" s="6" t="n">
        <x:v>1100</x:v>
      </x:c>
    </x:row>
    <x:row r="28">
      <x:c r="A28" s="2" t="str">
        <x:v>2026-05-12</x:v>
      </x:c>
      <x:c r="B28" s="2" t="str">
        <x:v>treatment</x:v>
      </x:c>
      <x:c r="C28" s="6" t="n">
        <x:v>120</x:v>
      </x:c>
      <x:c r="D28" s="6" t="n">
        <x:v>1059</x:v>
      </x:c>
    </x:row>
    <x:row r="29">
      <x:c r="A29" s="2" t="str">
        <x:v>2026-05-13</x:v>
      </x:c>
      <x:c r="B29" s="2" t="str">
        <x:v>control</x:v>
      </x:c>
      <x:c r="C29" s="6" t="n">
        <x:v>135</x:v>
      </x:c>
      <x:c r="D29" s="6" t="n">
        <x:v>991</x:v>
      </x:c>
    </x:row>
    <x:row r="30">
      <x:c r="A30" s="2" t="str">
        <x:v>2026-05-13</x:v>
      </x:c>
      <x:c r="B30" s="2" t="str">
        <x:v>treatment</x:v>
      </x:c>
      <x:c r="C30" s="6" t="n">
        <x:v>145</x:v>
      </x:c>
      <x:c r="D30" s="6" t="n">
        <x:v>1061</x:v>
      </x:c>
    </x:row>
    <x:row r="31">
      <x:c r="A31" s="2" t="str">
        <x:v>2026-05-14</x:v>
      </x:c>
      <x:c r="B31" s="2" t="str">
        <x:v>control</x:v>
      </x:c>
      <x:c r="C31" s="6" t="n">
        <x:v>146</x:v>
      </x:c>
      <x:c r="D31" s="6" t="n">
        <x:v>1119</x:v>
      </x:c>
    </x:row>
    <x:row r="32">
      <x:c r="A32" s="2" t="str">
        <x:v>2026-05-14</x:v>
      </x:c>
      <x:c r="B32" s="2" t="str">
        <x:v>treatment</x:v>
      </x:c>
      <x:c r="C32" s="6" t="n">
        <x:v>168</x:v>
      </x:c>
      <x:c r="D32" s="6" t="n">
        <x:v>1106</x:v>
      </x:c>
    </x:row>
  </x:sheetData>
  <x:pageMargins left="0.7" right="0.7" top="0.75" bottom="0.75" header="0.3" footer="0.3"/>
  <x:tableParts count="1">
    <x:tablePart xmlns:r="http://schemas.openxmlformats.org/officeDocument/2006/relationships" r:id="R6b51e643266247c5"/>
  </x:tableParts>
</x:worksheet>
</file>